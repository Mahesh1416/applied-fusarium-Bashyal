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wmissouri-my.sharepoint.com/personal/mbashyal_nwmissouri_edu/Documents/Research trial data/Fusarium project/"/>
    </mc:Choice>
  </mc:AlternateContent>
  <xr:revisionPtr revIDLastSave="0" documentId="8_{702F114B-87BC-4F94-AC59-B084A1F08249}" xr6:coauthVersionLast="47" xr6:coauthVersionMax="47" xr10:uidLastSave="{00000000-0000-0000-0000-000000000000}"/>
  <bookViews>
    <workbookView xWindow="-110" yWindow="-110" windowWidth="19420" windowHeight="11500" xr2:uid="{8B252847-1684-41C4-B0DD-71690C4E8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1" l="1"/>
  <c r="K42" i="1"/>
  <c r="N47" i="1"/>
  <c r="N54" i="1"/>
  <c r="K41" i="1"/>
  <c r="K43" i="1"/>
  <c r="K44" i="1"/>
  <c r="K45" i="1"/>
  <c r="K46" i="1"/>
  <c r="K47" i="1"/>
  <c r="K48" i="1"/>
  <c r="K49" i="1"/>
  <c r="K50" i="1"/>
  <c r="K51" i="1"/>
  <c r="K52" i="1"/>
  <c r="K55" i="1"/>
  <c r="H41" i="1"/>
  <c r="H44" i="1"/>
  <c r="H45" i="1"/>
  <c r="H46" i="1"/>
  <c r="H47" i="1"/>
  <c r="H48" i="1"/>
  <c r="H49" i="1"/>
  <c r="H50" i="1"/>
  <c r="H51" i="1"/>
  <c r="H52" i="1"/>
  <c r="H53" i="1"/>
  <c r="H54" i="1"/>
  <c r="H55" i="1"/>
  <c r="E41" i="1"/>
  <c r="E43" i="1"/>
  <c r="E44" i="1"/>
  <c r="E45" i="1"/>
  <c r="E46" i="1"/>
  <c r="E47" i="1"/>
  <c r="E49" i="1"/>
  <c r="E50" i="1"/>
  <c r="E52" i="1"/>
  <c r="E53" i="1"/>
  <c r="H34" i="1"/>
  <c r="E34" i="1"/>
  <c r="H28" i="1"/>
  <c r="E28" i="1"/>
  <c r="H24" i="1"/>
  <c r="E21" i="1"/>
  <c r="E6" i="1"/>
  <c r="E10" i="1"/>
  <c r="E11" i="1"/>
  <c r="E12" i="1"/>
  <c r="E14" i="1"/>
  <c r="E15" i="1"/>
  <c r="E17" i="1"/>
  <c r="E18" i="1"/>
  <c r="E20" i="1"/>
  <c r="E26" i="1"/>
  <c r="E27" i="1"/>
  <c r="E29" i="1"/>
  <c r="E31" i="1"/>
  <c r="E32" i="1"/>
  <c r="E33" i="1"/>
  <c r="E35" i="1"/>
  <c r="E36" i="1"/>
  <c r="E37" i="1"/>
  <c r="E40" i="1"/>
  <c r="E7" i="1"/>
  <c r="H7" i="1"/>
  <c r="H9" i="1"/>
  <c r="H10" i="1"/>
  <c r="H11" i="1"/>
  <c r="H12" i="1"/>
  <c r="H14" i="1"/>
  <c r="H15" i="1"/>
  <c r="H16" i="1"/>
  <c r="H17" i="1"/>
  <c r="H18" i="1"/>
  <c r="H20" i="1"/>
  <c r="H21" i="1"/>
  <c r="H22" i="1"/>
  <c r="H26" i="1"/>
  <c r="H27" i="1"/>
  <c r="H29" i="1"/>
  <c r="H31" i="1"/>
  <c r="H32" i="1"/>
  <c r="H33" i="1"/>
  <c r="H35" i="1"/>
  <c r="H36" i="1"/>
  <c r="H37" i="1"/>
  <c r="H39" i="1"/>
  <c r="H40" i="1"/>
  <c r="N5" i="1"/>
  <c r="K18" i="1"/>
  <c r="K20" i="1"/>
  <c r="K23" i="1"/>
  <c r="K24" i="1"/>
  <c r="K25" i="1"/>
  <c r="K27" i="1"/>
  <c r="K28" i="1"/>
  <c r="K29" i="1"/>
  <c r="K30" i="1"/>
  <c r="K31" i="1"/>
  <c r="K32" i="1"/>
  <c r="K33" i="1"/>
  <c r="K34" i="1"/>
  <c r="K35" i="1"/>
  <c r="K36" i="1"/>
  <c r="K37" i="1"/>
  <c r="K38" i="1"/>
  <c r="K40" i="1"/>
  <c r="K6" i="1"/>
  <c r="K7" i="1"/>
  <c r="K8" i="1"/>
  <c r="K9" i="1"/>
  <c r="K10" i="1"/>
  <c r="K11" i="1"/>
  <c r="K12" i="1"/>
  <c r="K13" i="1"/>
  <c r="K14" i="1"/>
  <c r="K15" i="1"/>
  <c r="K16" i="1"/>
  <c r="K17" i="1"/>
  <c r="K5" i="1"/>
  <c r="K4" i="1"/>
  <c r="H4" i="1"/>
  <c r="E4" i="1"/>
  <c r="K3" i="1"/>
  <c r="H3" i="1"/>
</calcChain>
</file>

<file path=xl/sharedStrings.xml><?xml version="1.0" encoding="utf-8"?>
<sst xmlns="http://schemas.openxmlformats.org/spreadsheetml/2006/main" count="127" uniqueCount="85">
  <si>
    <t>Group</t>
  </si>
  <si>
    <t>R1</t>
  </si>
  <si>
    <t>R2</t>
  </si>
  <si>
    <t>R3</t>
  </si>
  <si>
    <t>R4</t>
  </si>
  <si>
    <t>R5</t>
  </si>
  <si>
    <t>Isolate #</t>
  </si>
  <si>
    <t>L</t>
  </si>
  <si>
    <t>RT</t>
  </si>
  <si>
    <t>%</t>
  </si>
  <si>
    <t>AT4-25-12</t>
  </si>
  <si>
    <t>J2</t>
  </si>
  <si>
    <t>AN6-25-13</t>
  </si>
  <si>
    <t>B</t>
  </si>
  <si>
    <t>CW12-25-01</t>
  </si>
  <si>
    <t>J4</t>
  </si>
  <si>
    <t>H</t>
  </si>
  <si>
    <t>ND7-25-02</t>
  </si>
  <si>
    <t>A</t>
  </si>
  <si>
    <t>H1</t>
  </si>
  <si>
    <t>C518-25-14</t>
  </si>
  <si>
    <t>IS</t>
  </si>
  <si>
    <t>LN14-25-01</t>
  </si>
  <si>
    <t>I4</t>
  </si>
  <si>
    <t>LW14-25-19</t>
  </si>
  <si>
    <t>C</t>
  </si>
  <si>
    <t>BT15-25-15</t>
  </si>
  <si>
    <t>I3</t>
  </si>
  <si>
    <t>LW19-25-24</t>
  </si>
  <si>
    <t>AT4-25-05</t>
  </si>
  <si>
    <t>I1</t>
  </si>
  <si>
    <t>BT15-25-02</t>
  </si>
  <si>
    <t>T5</t>
  </si>
  <si>
    <t>BT-15-25-14</t>
  </si>
  <si>
    <t>AA</t>
  </si>
  <si>
    <t>E</t>
  </si>
  <si>
    <t>HT13-25-03</t>
  </si>
  <si>
    <t>BT15-25-08</t>
  </si>
  <si>
    <t>-</t>
  </si>
  <si>
    <t>RY5-25-14</t>
  </si>
  <si>
    <t>GT41-25-02</t>
  </si>
  <si>
    <t>D</t>
  </si>
  <si>
    <t>ND7-25-01</t>
  </si>
  <si>
    <t>ND7-25-12</t>
  </si>
  <si>
    <t>CR8-25-04</t>
  </si>
  <si>
    <t>H2</t>
  </si>
  <si>
    <t>BT15-25-05</t>
  </si>
  <si>
    <t>ANG-25-10</t>
  </si>
  <si>
    <t>HT13-25-11</t>
  </si>
  <si>
    <t>G</t>
  </si>
  <si>
    <t>HT13-25-17</t>
  </si>
  <si>
    <t>CONTROL</t>
  </si>
  <si>
    <t>ANG-26-08</t>
  </si>
  <si>
    <t>GLG3-25-11</t>
  </si>
  <si>
    <t>I2</t>
  </si>
  <si>
    <t>DK21-23-61</t>
  </si>
  <si>
    <t>HT13-25-04</t>
  </si>
  <si>
    <t>H4</t>
  </si>
  <si>
    <t>AN6-25-12</t>
  </si>
  <si>
    <t>CR8-25-01</t>
  </si>
  <si>
    <t>AT4-25-03</t>
  </si>
  <si>
    <t>H3</t>
  </si>
  <si>
    <t>MC10-25-04</t>
  </si>
  <si>
    <t>HT13-25-16</t>
  </si>
  <si>
    <t>GTY-25-08</t>
  </si>
  <si>
    <t>CW12-25-08</t>
  </si>
  <si>
    <t>HT13-25-10</t>
  </si>
  <si>
    <t>LV9-25-10</t>
  </si>
  <si>
    <t>AN6-25-09</t>
  </si>
  <si>
    <t>HT13-25-07</t>
  </si>
  <si>
    <t>AT4-25-06</t>
  </si>
  <si>
    <t>J3</t>
  </si>
  <si>
    <t>CS18-25-06</t>
  </si>
  <si>
    <t>ANG-25-03</t>
  </si>
  <si>
    <t>J1</t>
  </si>
  <si>
    <t>ANG6-25-12</t>
  </si>
  <si>
    <t>BT15-25-10</t>
  </si>
  <si>
    <t>RY5-25-O6</t>
  </si>
  <si>
    <t>MC10-25-09</t>
  </si>
  <si>
    <t>MC10-25-15</t>
  </si>
  <si>
    <t>GDY11-25-02</t>
  </si>
  <si>
    <t>GDY11-25-03</t>
  </si>
  <si>
    <t>BCN2-25-06</t>
  </si>
  <si>
    <t>BCN2-25-056</t>
  </si>
  <si>
    <t>BTN2-25-06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</si>
</sst>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D99A-37BD-4358-ACB2-7F9455CDD97C}">
  <dimension ref="A1:Q55"/>
  <sheetViews>
    <sheetView tabSelected="1" workbookViewId="0">
      <selection activeCell="O9" sqref="O9"/>
    </sheetView>
  </sheetViews>
  <sheetFormatPr defaultRowHeight="14.5" x14ac:dyDescent="0.35"/>
  <cols>
    <col min="2" max="2" width="11.54296875" bestFit="1" customWidth="1"/>
    <col min="8" max="8" width="10.453125" bestFit="1" customWidth="1"/>
  </cols>
  <sheetData>
    <row r="1" spans="1:17" x14ac:dyDescent="0.35">
      <c r="C1" s="6" t="s">
        <v>1</v>
      </c>
      <c r="D1" s="6"/>
      <c r="E1" s="6"/>
      <c r="F1" s="6" t="s">
        <v>2</v>
      </c>
      <c r="G1" s="6"/>
      <c r="H1" s="6"/>
      <c r="I1" s="6" t="s">
        <v>3</v>
      </c>
      <c r="J1" s="6"/>
      <c r="K1" s="6"/>
      <c r="L1" s="6" t="s">
        <v>4</v>
      </c>
      <c r="M1" s="6"/>
      <c r="N1" s="6"/>
      <c r="O1" s="6" t="s">
        <v>5</v>
      </c>
      <c r="P1" s="6"/>
      <c r="Q1" s="6"/>
    </row>
    <row r="2" spans="1:17" x14ac:dyDescent="0.35">
      <c r="A2" s="1" t="s">
        <v>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9</v>
      </c>
      <c r="L2" s="1" t="s">
        <v>7</v>
      </c>
      <c r="M2" s="1" t="s">
        <v>8</v>
      </c>
      <c r="N2" s="1" t="s">
        <v>9</v>
      </c>
      <c r="O2" s="1" t="s">
        <v>7</v>
      </c>
      <c r="P2" s="1" t="s">
        <v>8</v>
      </c>
      <c r="Q2" s="1" t="s">
        <v>9</v>
      </c>
    </row>
    <row r="3" spans="1:17" x14ac:dyDescent="0.35">
      <c r="A3" t="s">
        <v>11</v>
      </c>
      <c r="B3" t="s">
        <v>10</v>
      </c>
      <c r="E3">
        <v>100</v>
      </c>
      <c r="F3">
        <v>5</v>
      </c>
      <c r="G3">
        <v>12</v>
      </c>
      <c r="H3" s="2">
        <f>F3/G3*100</f>
        <v>41.666666666666671</v>
      </c>
      <c r="I3">
        <v>5</v>
      </c>
      <c r="J3">
        <v>12</v>
      </c>
      <c r="K3" s="2">
        <f>I3/J3*100</f>
        <v>41.666666666666671</v>
      </c>
    </row>
    <row r="4" spans="1:17" x14ac:dyDescent="0.35">
      <c r="B4" t="s">
        <v>12</v>
      </c>
      <c r="C4">
        <v>2</v>
      </c>
      <c r="D4">
        <v>3</v>
      </c>
      <c r="E4" s="2">
        <f>C4/D4*100</f>
        <v>66.666666666666657</v>
      </c>
      <c r="F4">
        <v>14</v>
      </c>
      <c r="G4">
        <v>16</v>
      </c>
      <c r="H4">
        <f>F4/G4*100</f>
        <v>87.5</v>
      </c>
      <c r="I4">
        <v>4</v>
      </c>
      <c r="J4">
        <v>4</v>
      </c>
      <c r="K4">
        <f>I4/J4*100</f>
        <v>100</v>
      </c>
    </row>
    <row r="5" spans="1:17" x14ac:dyDescent="0.35">
      <c r="A5" t="s">
        <v>13</v>
      </c>
      <c r="B5" t="s">
        <v>14</v>
      </c>
      <c r="E5">
        <v>100</v>
      </c>
      <c r="H5">
        <v>100</v>
      </c>
      <c r="I5">
        <v>5</v>
      </c>
      <c r="J5">
        <v>5</v>
      </c>
      <c r="K5">
        <f>I5/J5*100</f>
        <v>100</v>
      </c>
      <c r="L5">
        <v>1</v>
      </c>
      <c r="M5">
        <v>1</v>
      </c>
      <c r="N5">
        <f>L5/M5*100</f>
        <v>100</v>
      </c>
    </row>
    <row r="6" spans="1:17" x14ac:dyDescent="0.35">
      <c r="A6" t="s">
        <v>15</v>
      </c>
      <c r="B6" t="s">
        <v>81</v>
      </c>
      <c r="C6">
        <v>0</v>
      </c>
      <c r="D6">
        <v>22</v>
      </c>
      <c r="E6">
        <f>C6/D6*100</f>
        <v>0</v>
      </c>
      <c r="H6" s="2">
        <v>100</v>
      </c>
      <c r="I6">
        <v>0</v>
      </c>
      <c r="J6">
        <v>16</v>
      </c>
      <c r="K6" s="2">
        <f t="shared" ref="K6:K55" si="0">I6/J6*100</f>
        <v>0</v>
      </c>
    </row>
    <row r="7" spans="1:17" x14ac:dyDescent="0.35">
      <c r="A7" t="s">
        <v>16</v>
      </c>
      <c r="B7" t="s">
        <v>17</v>
      </c>
      <c r="C7">
        <v>2</v>
      </c>
      <c r="D7">
        <v>17</v>
      </c>
      <c r="E7" s="2">
        <f>C7/D7*100</f>
        <v>11.76470588235294</v>
      </c>
      <c r="F7">
        <v>2</v>
      </c>
      <c r="G7">
        <v>5</v>
      </c>
      <c r="H7" s="2">
        <f t="shared" ref="H7:H55" si="1">F7/G7*100</f>
        <v>40</v>
      </c>
      <c r="I7">
        <v>3</v>
      </c>
      <c r="J7">
        <v>8</v>
      </c>
      <c r="K7">
        <f t="shared" si="0"/>
        <v>37.5</v>
      </c>
    </row>
    <row r="8" spans="1:17" x14ac:dyDescent="0.35">
      <c r="A8" t="s">
        <v>18</v>
      </c>
      <c r="B8" s="4" t="s">
        <v>82</v>
      </c>
      <c r="E8" s="2">
        <v>100</v>
      </c>
      <c r="H8" s="2">
        <v>100</v>
      </c>
      <c r="I8">
        <v>2</v>
      </c>
      <c r="J8">
        <v>9</v>
      </c>
      <c r="K8" s="2">
        <f t="shared" si="0"/>
        <v>22.222222222222221</v>
      </c>
    </row>
    <row r="9" spans="1:17" x14ac:dyDescent="0.35">
      <c r="A9" t="s">
        <v>19</v>
      </c>
      <c r="B9" t="s">
        <v>20</v>
      </c>
      <c r="E9" s="2">
        <v>100</v>
      </c>
      <c r="F9">
        <v>1</v>
      </c>
      <c r="G9">
        <v>14</v>
      </c>
      <c r="H9" s="2">
        <f t="shared" si="1"/>
        <v>7.1428571428571423</v>
      </c>
      <c r="I9">
        <v>0</v>
      </c>
      <c r="J9">
        <v>8</v>
      </c>
      <c r="K9" s="2">
        <f t="shared" si="0"/>
        <v>0</v>
      </c>
    </row>
    <row r="10" spans="1:17" x14ac:dyDescent="0.35">
      <c r="A10" t="s">
        <v>21</v>
      </c>
      <c r="B10" t="s">
        <v>22</v>
      </c>
      <c r="C10">
        <v>4</v>
      </c>
      <c r="D10">
        <v>11</v>
      </c>
      <c r="E10" s="2">
        <f t="shared" ref="E10:E53" si="2">C10/D10*100</f>
        <v>36.363636363636367</v>
      </c>
      <c r="F10">
        <v>5</v>
      </c>
      <c r="G10">
        <v>12</v>
      </c>
      <c r="H10" s="2">
        <f t="shared" si="1"/>
        <v>41.666666666666671</v>
      </c>
      <c r="I10">
        <v>5</v>
      </c>
      <c r="J10">
        <v>12</v>
      </c>
      <c r="K10" s="2">
        <f t="shared" si="0"/>
        <v>41.666666666666671</v>
      </c>
    </row>
    <row r="11" spans="1:17" x14ac:dyDescent="0.35">
      <c r="A11" t="s">
        <v>23</v>
      </c>
      <c r="B11" t="s">
        <v>24</v>
      </c>
      <c r="C11">
        <v>0</v>
      </c>
      <c r="D11">
        <v>11</v>
      </c>
      <c r="E11" s="2">
        <f t="shared" si="2"/>
        <v>0</v>
      </c>
      <c r="F11">
        <v>3</v>
      </c>
      <c r="G11">
        <v>12</v>
      </c>
      <c r="H11" s="2">
        <f t="shared" si="1"/>
        <v>25</v>
      </c>
      <c r="I11">
        <v>2</v>
      </c>
      <c r="J11">
        <v>8</v>
      </c>
      <c r="K11">
        <f t="shared" si="0"/>
        <v>25</v>
      </c>
    </row>
    <row r="12" spans="1:17" x14ac:dyDescent="0.35">
      <c r="A12" t="s">
        <v>25</v>
      </c>
      <c r="B12" t="s">
        <v>26</v>
      </c>
      <c r="C12">
        <v>2</v>
      </c>
      <c r="D12">
        <v>9</v>
      </c>
      <c r="E12" s="2">
        <f t="shared" si="2"/>
        <v>22.222222222222221</v>
      </c>
      <c r="F12">
        <v>0</v>
      </c>
      <c r="G12">
        <v>15</v>
      </c>
      <c r="H12" s="2">
        <f t="shared" si="1"/>
        <v>0</v>
      </c>
      <c r="I12">
        <v>2</v>
      </c>
      <c r="J12">
        <v>11</v>
      </c>
      <c r="K12" s="2">
        <f t="shared" si="0"/>
        <v>18.181818181818183</v>
      </c>
    </row>
    <row r="13" spans="1:17" x14ac:dyDescent="0.35">
      <c r="A13" t="s">
        <v>27</v>
      </c>
      <c r="B13" t="s">
        <v>28</v>
      </c>
      <c r="E13" s="2">
        <v>100</v>
      </c>
      <c r="H13" s="2">
        <v>100</v>
      </c>
      <c r="I13">
        <v>7</v>
      </c>
      <c r="J13">
        <v>15</v>
      </c>
      <c r="K13" s="2">
        <f t="shared" si="0"/>
        <v>46.666666666666664</v>
      </c>
    </row>
    <row r="14" spans="1:17" x14ac:dyDescent="0.35">
      <c r="B14" t="s">
        <v>29</v>
      </c>
      <c r="C14" s="3">
        <v>3</v>
      </c>
      <c r="D14">
        <v>14</v>
      </c>
      <c r="E14" s="2">
        <f t="shared" si="2"/>
        <v>21.428571428571427</v>
      </c>
      <c r="F14">
        <v>3</v>
      </c>
      <c r="G14">
        <v>12</v>
      </c>
      <c r="H14" s="2">
        <f t="shared" si="1"/>
        <v>25</v>
      </c>
      <c r="I14">
        <v>3</v>
      </c>
      <c r="J14">
        <v>12</v>
      </c>
      <c r="K14">
        <f t="shared" si="0"/>
        <v>25</v>
      </c>
    </row>
    <row r="15" spans="1:17" x14ac:dyDescent="0.35">
      <c r="A15" t="s">
        <v>30</v>
      </c>
      <c r="B15" t="s">
        <v>31</v>
      </c>
      <c r="C15">
        <v>1</v>
      </c>
      <c r="D15">
        <v>10</v>
      </c>
      <c r="E15" s="2">
        <f t="shared" si="2"/>
        <v>10</v>
      </c>
      <c r="F15">
        <v>2</v>
      </c>
      <c r="G15">
        <v>14</v>
      </c>
      <c r="H15" s="2">
        <f t="shared" si="1"/>
        <v>14.285714285714285</v>
      </c>
      <c r="I15">
        <v>3</v>
      </c>
      <c r="J15">
        <v>16</v>
      </c>
      <c r="K15" s="2">
        <f t="shared" si="0"/>
        <v>18.75</v>
      </c>
    </row>
    <row r="16" spans="1:17" x14ac:dyDescent="0.35">
      <c r="A16" t="s">
        <v>32</v>
      </c>
      <c r="B16" t="s">
        <v>33</v>
      </c>
      <c r="E16" s="2">
        <v>100</v>
      </c>
      <c r="F16">
        <v>3</v>
      </c>
      <c r="G16">
        <v>11</v>
      </c>
      <c r="H16" s="2">
        <f t="shared" si="1"/>
        <v>27.27272727272727</v>
      </c>
      <c r="I16">
        <v>4</v>
      </c>
      <c r="J16">
        <v>10</v>
      </c>
      <c r="K16">
        <f t="shared" si="0"/>
        <v>40</v>
      </c>
    </row>
    <row r="17" spans="1:11" x14ac:dyDescent="0.35">
      <c r="B17" s="4" t="s">
        <v>83</v>
      </c>
      <c r="C17">
        <v>1</v>
      </c>
      <c r="D17">
        <v>12</v>
      </c>
      <c r="E17" s="2">
        <f t="shared" si="2"/>
        <v>8.3333333333333321</v>
      </c>
      <c r="F17">
        <v>0</v>
      </c>
      <c r="G17">
        <v>10</v>
      </c>
      <c r="H17" s="2">
        <f t="shared" si="1"/>
        <v>0</v>
      </c>
      <c r="I17">
        <v>2</v>
      </c>
      <c r="J17">
        <v>14</v>
      </c>
      <c r="K17" s="2">
        <f t="shared" si="0"/>
        <v>14.285714285714285</v>
      </c>
    </row>
    <row r="18" spans="1:11" x14ac:dyDescent="0.35">
      <c r="A18" t="s">
        <v>34</v>
      </c>
      <c r="B18" t="s">
        <v>78</v>
      </c>
      <c r="C18">
        <v>5</v>
      </c>
      <c r="D18">
        <v>15</v>
      </c>
      <c r="E18" s="2">
        <f t="shared" si="2"/>
        <v>33.333333333333329</v>
      </c>
      <c r="F18">
        <v>2</v>
      </c>
      <c r="G18">
        <v>14</v>
      </c>
      <c r="H18" s="2">
        <f t="shared" si="1"/>
        <v>14.285714285714285</v>
      </c>
      <c r="I18">
        <v>2</v>
      </c>
      <c r="J18">
        <v>13</v>
      </c>
      <c r="K18" s="2">
        <f t="shared" si="0"/>
        <v>15.384615384615385</v>
      </c>
    </row>
    <row r="19" spans="1:11" x14ac:dyDescent="0.35">
      <c r="A19" t="s">
        <v>16</v>
      </c>
      <c r="B19" t="s">
        <v>79</v>
      </c>
      <c r="E19" s="2">
        <v>100</v>
      </c>
      <c r="H19" s="2">
        <v>100</v>
      </c>
      <c r="K19">
        <v>100</v>
      </c>
    </row>
    <row r="20" spans="1:11" x14ac:dyDescent="0.35">
      <c r="A20" t="s">
        <v>35</v>
      </c>
      <c r="B20" t="s">
        <v>36</v>
      </c>
      <c r="C20">
        <v>2</v>
      </c>
      <c r="D20">
        <v>13</v>
      </c>
      <c r="E20" s="2">
        <f t="shared" si="2"/>
        <v>15.384615384615385</v>
      </c>
      <c r="F20">
        <v>3</v>
      </c>
      <c r="G20">
        <v>3</v>
      </c>
      <c r="H20" s="2">
        <f t="shared" si="1"/>
        <v>100</v>
      </c>
      <c r="I20">
        <v>3</v>
      </c>
      <c r="J20">
        <v>3</v>
      </c>
      <c r="K20">
        <f t="shared" si="0"/>
        <v>100</v>
      </c>
    </row>
    <row r="21" spans="1:11" x14ac:dyDescent="0.35">
      <c r="A21" t="s">
        <v>19</v>
      </c>
      <c r="B21" t="s">
        <v>37</v>
      </c>
      <c r="C21">
        <v>5</v>
      </c>
      <c r="D21">
        <v>18</v>
      </c>
      <c r="E21" s="2">
        <f t="shared" si="2"/>
        <v>27.777777777777779</v>
      </c>
      <c r="F21">
        <v>0</v>
      </c>
      <c r="G21">
        <v>14</v>
      </c>
      <c r="H21" s="2">
        <f t="shared" si="1"/>
        <v>0</v>
      </c>
      <c r="K21" s="5" t="s">
        <v>38</v>
      </c>
    </row>
    <row r="22" spans="1:11" x14ac:dyDescent="0.35">
      <c r="A22" t="s">
        <v>13</v>
      </c>
      <c r="B22" s="4" t="s">
        <v>22</v>
      </c>
      <c r="E22" s="2">
        <v>100</v>
      </c>
      <c r="F22">
        <v>1</v>
      </c>
      <c r="G22">
        <v>6</v>
      </c>
      <c r="H22" s="2">
        <f t="shared" si="1"/>
        <v>16.666666666666664</v>
      </c>
      <c r="K22" s="1" t="s">
        <v>38</v>
      </c>
    </row>
    <row r="23" spans="1:11" x14ac:dyDescent="0.35">
      <c r="A23" t="s">
        <v>16</v>
      </c>
      <c r="B23" t="s">
        <v>39</v>
      </c>
      <c r="E23" s="2">
        <v>100</v>
      </c>
      <c r="H23" s="2">
        <v>100</v>
      </c>
      <c r="I23">
        <v>2</v>
      </c>
      <c r="J23">
        <v>7</v>
      </c>
      <c r="K23" s="2">
        <f t="shared" si="0"/>
        <v>28.571428571428569</v>
      </c>
    </row>
    <row r="24" spans="1:11" x14ac:dyDescent="0.35">
      <c r="A24" t="s">
        <v>34</v>
      </c>
      <c r="B24" t="s">
        <v>40</v>
      </c>
      <c r="E24" s="2">
        <v>100</v>
      </c>
      <c r="F24">
        <v>5</v>
      </c>
      <c r="G24">
        <v>14</v>
      </c>
      <c r="H24" s="2">
        <f t="shared" si="1"/>
        <v>35.714285714285715</v>
      </c>
      <c r="I24">
        <v>3</v>
      </c>
      <c r="J24">
        <v>17</v>
      </c>
      <c r="K24" s="2">
        <f t="shared" si="0"/>
        <v>17.647058823529413</v>
      </c>
    </row>
    <row r="25" spans="1:11" x14ac:dyDescent="0.35">
      <c r="A25" t="s">
        <v>41</v>
      </c>
      <c r="B25" t="s">
        <v>80</v>
      </c>
      <c r="E25" s="2">
        <v>100</v>
      </c>
      <c r="H25" s="2">
        <v>100</v>
      </c>
      <c r="I25">
        <v>2</v>
      </c>
      <c r="J25">
        <v>3</v>
      </c>
      <c r="K25" s="2">
        <f t="shared" si="0"/>
        <v>66.666666666666657</v>
      </c>
    </row>
    <row r="26" spans="1:11" x14ac:dyDescent="0.35">
      <c r="A26" t="s">
        <v>34</v>
      </c>
      <c r="B26" s="4" t="s">
        <v>77</v>
      </c>
      <c r="C26">
        <v>2</v>
      </c>
      <c r="D26">
        <v>20</v>
      </c>
      <c r="E26" s="2">
        <f t="shared" si="2"/>
        <v>10</v>
      </c>
      <c r="F26">
        <v>3</v>
      </c>
      <c r="G26">
        <v>10</v>
      </c>
      <c r="H26" s="2">
        <f t="shared" si="1"/>
        <v>30</v>
      </c>
      <c r="K26" s="1" t="s">
        <v>38</v>
      </c>
    </row>
    <row r="27" spans="1:11" x14ac:dyDescent="0.35">
      <c r="A27" t="s">
        <v>13</v>
      </c>
      <c r="B27" t="s">
        <v>42</v>
      </c>
      <c r="C27">
        <v>1</v>
      </c>
      <c r="D27">
        <v>10</v>
      </c>
      <c r="E27" s="2">
        <f t="shared" si="2"/>
        <v>10</v>
      </c>
      <c r="F27">
        <v>7</v>
      </c>
      <c r="G27">
        <v>16</v>
      </c>
      <c r="H27" s="2">
        <f t="shared" si="1"/>
        <v>43.75</v>
      </c>
      <c r="I27">
        <v>5</v>
      </c>
      <c r="J27">
        <v>8</v>
      </c>
      <c r="K27">
        <f t="shared" si="0"/>
        <v>62.5</v>
      </c>
    </row>
    <row r="28" spans="1:11" x14ac:dyDescent="0.35">
      <c r="B28" t="s">
        <v>43</v>
      </c>
      <c r="C28">
        <v>8</v>
      </c>
      <c r="D28">
        <v>15</v>
      </c>
      <c r="E28" s="2">
        <f t="shared" si="2"/>
        <v>53.333333333333336</v>
      </c>
      <c r="F28">
        <v>8</v>
      </c>
      <c r="G28">
        <v>16</v>
      </c>
      <c r="H28" s="2">
        <f t="shared" si="1"/>
        <v>50</v>
      </c>
      <c r="I28">
        <v>8</v>
      </c>
      <c r="J28">
        <v>15</v>
      </c>
      <c r="K28" s="2">
        <f t="shared" si="0"/>
        <v>53.333333333333336</v>
      </c>
    </row>
    <row r="29" spans="1:11" x14ac:dyDescent="0.35">
      <c r="A29" t="s">
        <v>13</v>
      </c>
      <c r="B29" t="s">
        <v>44</v>
      </c>
      <c r="C29">
        <v>6</v>
      </c>
      <c r="D29">
        <v>14</v>
      </c>
      <c r="E29" s="2">
        <f t="shared" si="2"/>
        <v>42.857142857142854</v>
      </c>
      <c r="F29">
        <v>7</v>
      </c>
      <c r="G29">
        <v>12</v>
      </c>
      <c r="H29" s="2">
        <f t="shared" si="1"/>
        <v>58.333333333333336</v>
      </c>
      <c r="I29">
        <v>7</v>
      </c>
      <c r="J29">
        <v>13</v>
      </c>
      <c r="K29" s="2">
        <f t="shared" si="0"/>
        <v>53.846153846153847</v>
      </c>
    </row>
    <row r="30" spans="1:11" x14ac:dyDescent="0.35">
      <c r="A30" t="s">
        <v>45</v>
      </c>
      <c r="B30" t="s">
        <v>46</v>
      </c>
      <c r="E30" s="2">
        <v>100</v>
      </c>
      <c r="H30" s="2">
        <v>100</v>
      </c>
      <c r="I30">
        <v>4</v>
      </c>
      <c r="J30">
        <v>11</v>
      </c>
      <c r="K30" s="2">
        <f t="shared" si="0"/>
        <v>36.363636363636367</v>
      </c>
    </row>
    <row r="31" spans="1:11" x14ac:dyDescent="0.35">
      <c r="A31" t="s">
        <v>13</v>
      </c>
      <c r="B31" t="s">
        <v>47</v>
      </c>
      <c r="C31">
        <v>0</v>
      </c>
      <c r="D31">
        <v>3</v>
      </c>
      <c r="E31" s="2">
        <f t="shared" si="2"/>
        <v>0</v>
      </c>
      <c r="F31">
        <v>1</v>
      </c>
      <c r="G31">
        <v>9</v>
      </c>
      <c r="H31" s="2">
        <f t="shared" si="1"/>
        <v>11.111111111111111</v>
      </c>
      <c r="I31">
        <v>3</v>
      </c>
      <c r="J31">
        <v>10</v>
      </c>
      <c r="K31">
        <f t="shared" si="0"/>
        <v>30</v>
      </c>
    </row>
    <row r="32" spans="1:11" x14ac:dyDescent="0.35">
      <c r="B32" s="4" t="s">
        <v>84</v>
      </c>
      <c r="C32">
        <v>10</v>
      </c>
      <c r="D32">
        <v>16</v>
      </c>
      <c r="E32" s="2">
        <f t="shared" si="2"/>
        <v>62.5</v>
      </c>
      <c r="F32">
        <v>9</v>
      </c>
      <c r="G32">
        <v>12</v>
      </c>
      <c r="H32" s="2">
        <f t="shared" si="1"/>
        <v>75</v>
      </c>
      <c r="I32">
        <v>11</v>
      </c>
      <c r="J32">
        <v>13</v>
      </c>
      <c r="K32" s="2">
        <f t="shared" si="0"/>
        <v>84.615384615384613</v>
      </c>
    </row>
    <row r="33" spans="1:14" x14ac:dyDescent="0.35">
      <c r="A33" t="s">
        <v>18</v>
      </c>
      <c r="B33" t="s">
        <v>48</v>
      </c>
      <c r="C33">
        <v>5</v>
      </c>
      <c r="D33">
        <v>12</v>
      </c>
      <c r="E33" s="2">
        <f t="shared" si="2"/>
        <v>41.666666666666671</v>
      </c>
      <c r="F33">
        <v>5</v>
      </c>
      <c r="G33">
        <v>12</v>
      </c>
      <c r="H33" s="2">
        <f t="shared" si="1"/>
        <v>41.666666666666671</v>
      </c>
      <c r="I33">
        <v>4</v>
      </c>
      <c r="J33">
        <v>13</v>
      </c>
      <c r="K33" s="2">
        <f t="shared" si="0"/>
        <v>30.76923076923077</v>
      </c>
    </row>
    <row r="34" spans="1:14" x14ac:dyDescent="0.35">
      <c r="A34" t="s">
        <v>49</v>
      </c>
      <c r="B34" t="s">
        <v>50</v>
      </c>
      <c r="C34">
        <v>7</v>
      </c>
      <c r="D34">
        <v>11</v>
      </c>
      <c r="E34" s="2">
        <f t="shared" si="2"/>
        <v>63.636363636363633</v>
      </c>
      <c r="F34">
        <v>6</v>
      </c>
      <c r="G34">
        <v>10</v>
      </c>
      <c r="H34" s="2">
        <f t="shared" si="1"/>
        <v>60</v>
      </c>
      <c r="I34">
        <v>7</v>
      </c>
      <c r="J34">
        <v>13</v>
      </c>
      <c r="K34" s="2">
        <f t="shared" si="0"/>
        <v>53.846153846153847</v>
      </c>
    </row>
    <row r="35" spans="1:14" x14ac:dyDescent="0.35">
      <c r="B35" t="s">
        <v>51</v>
      </c>
      <c r="C35">
        <v>0</v>
      </c>
      <c r="D35">
        <v>11</v>
      </c>
      <c r="E35" s="2">
        <f t="shared" si="2"/>
        <v>0</v>
      </c>
      <c r="F35">
        <v>0</v>
      </c>
      <c r="G35">
        <v>13</v>
      </c>
      <c r="H35" s="2">
        <f t="shared" si="1"/>
        <v>0</v>
      </c>
      <c r="I35">
        <v>0</v>
      </c>
      <c r="J35">
        <v>9</v>
      </c>
      <c r="K35">
        <f t="shared" si="0"/>
        <v>0</v>
      </c>
    </row>
    <row r="36" spans="1:14" x14ac:dyDescent="0.35">
      <c r="A36" t="s">
        <v>13</v>
      </c>
      <c r="B36" t="s">
        <v>52</v>
      </c>
      <c r="C36">
        <v>5</v>
      </c>
      <c r="D36">
        <v>12</v>
      </c>
      <c r="E36" s="2">
        <f t="shared" si="2"/>
        <v>41.666666666666671</v>
      </c>
      <c r="F36">
        <v>3</v>
      </c>
      <c r="G36">
        <v>10</v>
      </c>
      <c r="H36" s="2">
        <f t="shared" si="1"/>
        <v>30</v>
      </c>
      <c r="I36">
        <v>2</v>
      </c>
      <c r="J36">
        <v>8</v>
      </c>
      <c r="K36">
        <f t="shared" si="0"/>
        <v>25</v>
      </c>
    </row>
    <row r="37" spans="1:14" x14ac:dyDescent="0.35">
      <c r="A37" t="s">
        <v>49</v>
      </c>
      <c r="B37" t="s">
        <v>53</v>
      </c>
      <c r="C37">
        <v>4</v>
      </c>
      <c r="D37">
        <v>20</v>
      </c>
      <c r="E37" s="2">
        <f t="shared" si="2"/>
        <v>20</v>
      </c>
      <c r="F37">
        <v>2</v>
      </c>
      <c r="G37">
        <v>20</v>
      </c>
      <c r="H37" s="2">
        <f t="shared" si="1"/>
        <v>10</v>
      </c>
      <c r="I37">
        <v>3</v>
      </c>
      <c r="J37">
        <v>15</v>
      </c>
      <c r="K37">
        <f t="shared" si="0"/>
        <v>20</v>
      </c>
    </row>
    <row r="38" spans="1:14" x14ac:dyDescent="0.35">
      <c r="A38" t="s">
        <v>54</v>
      </c>
      <c r="B38" t="s">
        <v>55</v>
      </c>
      <c r="E38" s="2">
        <v>100</v>
      </c>
      <c r="H38" s="2">
        <v>100</v>
      </c>
      <c r="I38">
        <v>5</v>
      </c>
      <c r="J38">
        <v>11</v>
      </c>
      <c r="K38" s="2">
        <f t="shared" si="0"/>
        <v>45.454545454545453</v>
      </c>
    </row>
    <row r="39" spans="1:14" x14ac:dyDescent="0.35">
      <c r="A39" t="s">
        <v>25</v>
      </c>
      <c r="B39" t="s">
        <v>56</v>
      </c>
      <c r="E39" s="2">
        <v>100</v>
      </c>
      <c r="F39">
        <v>4</v>
      </c>
      <c r="G39">
        <v>14</v>
      </c>
      <c r="H39" s="2">
        <f t="shared" si="1"/>
        <v>28.571428571428569</v>
      </c>
      <c r="I39" s="1"/>
      <c r="J39" s="1"/>
      <c r="K39" s="1" t="s">
        <v>38</v>
      </c>
    </row>
    <row r="40" spans="1:14" x14ac:dyDescent="0.35">
      <c r="A40" t="s">
        <v>57</v>
      </c>
      <c r="B40" t="s">
        <v>58</v>
      </c>
      <c r="C40">
        <v>6</v>
      </c>
      <c r="D40">
        <v>14</v>
      </c>
      <c r="E40" s="2">
        <f t="shared" si="2"/>
        <v>42.857142857142854</v>
      </c>
      <c r="F40">
        <v>7</v>
      </c>
      <c r="G40">
        <v>13</v>
      </c>
      <c r="H40" s="2">
        <f t="shared" si="1"/>
        <v>53.846153846153847</v>
      </c>
      <c r="I40">
        <v>6</v>
      </c>
      <c r="J40">
        <v>9</v>
      </c>
      <c r="K40">
        <f t="shared" si="0"/>
        <v>66.666666666666657</v>
      </c>
    </row>
    <row r="41" spans="1:14" x14ac:dyDescent="0.35">
      <c r="A41" t="s">
        <v>35</v>
      </c>
      <c r="B41" t="s">
        <v>59</v>
      </c>
      <c r="C41">
        <v>1.5</v>
      </c>
      <c r="D41">
        <v>2.5</v>
      </c>
      <c r="E41" s="2">
        <f t="shared" si="2"/>
        <v>60</v>
      </c>
      <c r="F41">
        <v>2</v>
      </c>
      <c r="G41">
        <v>11</v>
      </c>
      <c r="H41" s="2">
        <f t="shared" si="1"/>
        <v>18.181818181818183</v>
      </c>
      <c r="I41">
        <v>3.5</v>
      </c>
      <c r="J41">
        <v>11</v>
      </c>
      <c r="K41">
        <f t="shared" si="0"/>
        <v>31.818181818181817</v>
      </c>
    </row>
    <row r="42" spans="1:14" x14ac:dyDescent="0.35">
      <c r="A42" t="s">
        <v>25</v>
      </c>
      <c r="B42" t="s">
        <v>60</v>
      </c>
      <c r="C42" s="1"/>
      <c r="D42" s="1"/>
      <c r="E42" s="2">
        <v>100</v>
      </c>
      <c r="F42" s="1"/>
      <c r="G42" s="1"/>
      <c r="H42" s="2">
        <v>100</v>
      </c>
      <c r="I42">
        <v>2</v>
      </c>
      <c r="J42">
        <v>11</v>
      </c>
      <c r="K42">
        <f t="shared" si="0"/>
        <v>18.181818181818183</v>
      </c>
    </row>
    <row r="43" spans="1:14" x14ac:dyDescent="0.35">
      <c r="A43" t="s">
        <v>61</v>
      </c>
      <c r="B43" t="s">
        <v>62</v>
      </c>
      <c r="C43">
        <v>2</v>
      </c>
      <c r="D43">
        <v>10</v>
      </c>
      <c r="E43" s="2">
        <f t="shared" si="2"/>
        <v>20</v>
      </c>
      <c r="F43" s="1"/>
      <c r="G43" s="1"/>
      <c r="H43" s="2">
        <v>100</v>
      </c>
      <c r="I43">
        <v>0.5</v>
      </c>
      <c r="J43">
        <v>1</v>
      </c>
      <c r="K43">
        <f t="shared" si="0"/>
        <v>50</v>
      </c>
    </row>
    <row r="44" spans="1:14" x14ac:dyDescent="0.35">
      <c r="A44" t="s">
        <v>19</v>
      </c>
      <c r="B44" t="s">
        <v>63</v>
      </c>
      <c r="C44">
        <v>0.5</v>
      </c>
      <c r="D44">
        <v>3</v>
      </c>
      <c r="E44" s="2">
        <f t="shared" si="2"/>
        <v>16.666666666666664</v>
      </c>
      <c r="F44">
        <v>7</v>
      </c>
      <c r="G44">
        <v>12</v>
      </c>
      <c r="H44" s="2">
        <f t="shared" si="1"/>
        <v>58.333333333333336</v>
      </c>
      <c r="I44">
        <v>4</v>
      </c>
      <c r="J44">
        <v>10</v>
      </c>
      <c r="K44">
        <f t="shared" si="0"/>
        <v>40</v>
      </c>
    </row>
    <row r="45" spans="1:14" x14ac:dyDescent="0.35">
      <c r="A45" t="s">
        <v>18</v>
      </c>
      <c r="B45" t="s">
        <v>64</v>
      </c>
      <c r="C45">
        <v>7</v>
      </c>
      <c r="D45">
        <v>12</v>
      </c>
      <c r="E45" s="2">
        <f t="shared" si="2"/>
        <v>58.333333333333336</v>
      </c>
      <c r="F45">
        <v>8</v>
      </c>
      <c r="G45">
        <v>16</v>
      </c>
      <c r="H45" s="2">
        <f t="shared" si="1"/>
        <v>50</v>
      </c>
      <c r="I45">
        <v>7</v>
      </c>
      <c r="J45">
        <v>11</v>
      </c>
      <c r="K45">
        <f t="shared" si="0"/>
        <v>63.636363636363633</v>
      </c>
    </row>
    <row r="46" spans="1:14" x14ac:dyDescent="0.35">
      <c r="A46" t="s">
        <v>18</v>
      </c>
      <c r="B46" t="s">
        <v>65</v>
      </c>
      <c r="C46">
        <v>4</v>
      </c>
      <c r="D46">
        <v>11</v>
      </c>
      <c r="E46" s="2">
        <f t="shared" si="2"/>
        <v>36.363636363636367</v>
      </c>
      <c r="F46">
        <v>5</v>
      </c>
      <c r="G46">
        <v>10</v>
      </c>
      <c r="H46" s="2">
        <f t="shared" si="1"/>
        <v>50</v>
      </c>
      <c r="I46">
        <v>3</v>
      </c>
      <c r="J46">
        <v>15</v>
      </c>
      <c r="K46">
        <f t="shared" si="0"/>
        <v>20</v>
      </c>
    </row>
    <row r="47" spans="1:14" x14ac:dyDescent="0.35">
      <c r="A47" t="s">
        <v>13</v>
      </c>
      <c r="B47" t="s">
        <v>66</v>
      </c>
      <c r="C47">
        <v>5</v>
      </c>
      <c r="D47">
        <v>13</v>
      </c>
      <c r="E47" s="2">
        <f t="shared" si="2"/>
        <v>38.461538461538467</v>
      </c>
      <c r="F47">
        <v>5</v>
      </c>
      <c r="G47">
        <v>11</v>
      </c>
      <c r="H47" s="2">
        <f t="shared" si="1"/>
        <v>45.454545454545453</v>
      </c>
      <c r="I47">
        <v>7</v>
      </c>
      <c r="J47">
        <v>14</v>
      </c>
      <c r="K47">
        <f t="shared" si="0"/>
        <v>50</v>
      </c>
      <c r="L47">
        <v>2</v>
      </c>
      <c r="M47">
        <v>3</v>
      </c>
      <c r="N47">
        <f t="shared" ref="N47:N54" si="3">L47/M47*100</f>
        <v>66.666666666666657</v>
      </c>
    </row>
    <row r="48" spans="1:14" x14ac:dyDescent="0.35">
      <c r="A48" t="s">
        <v>16</v>
      </c>
      <c r="B48" t="s">
        <v>67</v>
      </c>
      <c r="C48" s="1"/>
      <c r="D48" s="1"/>
      <c r="E48" s="2">
        <v>100</v>
      </c>
      <c r="F48">
        <v>0.5</v>
      </c>
      <c r="G48">
        <v>0.5</v>
      </c>
      <c r="H48" s="2">
        <f t="shared" si="1"/>
        <v>100</v>
      </c>
      <c r="I48">
        <v>0.5</v>
      </c>
      <c r="J48">
        <v>1</v>
      </c>
      <c r="K48">
        <f t="shared" si="0"/>
        <v>50</v>
      </c>
    </row>
    <row r="49" spans="1:14" x14ac:dyDescent="0.35">
      <c r="A49" t="s">
        <v>16</v>
      </c>
      <c r="B49" t="s">
        <v>68</v>
      </c>
      <c r="C49">
        <v>1</v>
      </c>
      <c r="D49">
        <v>1.5</v>
      </c>
      <c r="E49" s="2">
        <f t="shared" si="2"/>
        <v>66.666666666666657</v>
      </c>
      <c r="F49">
        <v>3</v>
      </c>
      <c r="G49">
        <v>12</v>
      </c>
      <c r="H49" s="2">
        <f t="shared" si="1"/>
        <v>25</v>
      </c>
      <c r="I49">
        <v>1.5</v>
      </c>
      <c r="J49">
        <v>10</v>
      </c>
      <c r="K49">
        <f t="shared" si="0"/>
        <v>15</v>
      </c>
    </row>
    <row r="50" spans="1:14" x14ac:dyDescent="0.35">
      <c r="A50" t="s">
        <v>35</v>
      </c>
      <c r="B50" t="s">
        <v>69</v>
      </c>
      <c r="C50">
        <v>5</v>
      </c>
      <c r="D50">
        <v>8</v>
      </c>
      <c r="E50" s="2">
        <f t="shared" si="2"/>
        <v>62.5</v>
      </c>
      <c r="F50">
        <v>9</v>
      </c>
      <c r="G50">
        <v>18</v>
      </c>
      <c r="H50" s="2">
        <f t="shared" si="1"/>
        <v>50</v>
      </c>
      <c r="I50">
        <v>0.5</v>
      </c>
      <c r="J50">
        <v>1</v>
      </c>
      <c r="K50">
        <f t="shared" si="0"/>
        <v>50</v>
      </c>
    </row>
    <row r="51" spans="1:14" x14ac:dyDescent="0.35">
      <c r="A51" t="s">
        <v>18</v>
      </c>
      <c r="B51" t="s">
        <v>70</v>
      </c>
      <c r="C51" s="1"/>
      <c r="D51" s="1"/>
      <c r="E51" s="2">
        <v>100</v>
      </c>
      <c r="F51">
        <v>1</v>
      </c>
      <c r="G51">
        <v>9</v>
      </c>
      <c r="H51" s="2">
        <f t="shared" si="1"/>
        <v>11.111111111111111</v>
      </c>
      <c r="I51">
        <v>3</v>
      </c>
      <c r="J51">
        <v>9</v>
      </c>
      <c r="K51">
        <f t="shared" si="0"/>
        <v>33.333333333333329</v>
      </c>
    </row>
    <row r="52" spans="1:14" x14ac:dyDescent="0.35">
      <c r="A52" t="s">
        <v>71</v>
      </c>
      <c r="B52" t="s">
        <v>72</v>
      </c>
      <c r="C52">
        <v>6</v>
      </c>
      <c r="D52">
        <v>14</v>
      </c>
      <c r="E52" s="2">
        <f t="shared" si="2"/>
        <v>42.857142857142854</v>
      </c>
      <c r="F52">
        <v>4</v>
      </c>
      <c r="G52">
        <v>14</v>
      </c>
      <c r="H52" s="2">
        <f t="shared" si="1"/>
        <v>28.571428571428569</v>
      </c>
      <c r="I52">
        <v>5</v>
      </c>
      <c r="J52">
        <v>14</v>
      </c>
      <c r="K52">
        <f t="shared" si="0"/>
        <v>35.714285714285715</v>
      </c>
    </row>
    <row r="53" spans="1:14" x14ac:dyDescent="0.35">
      <c r="A53" t="s">
        <v>41</v>
      </c>
      <c r="B53" t="s">
        <v>73</v>
      </c>
      <c r="C53">
        <v>10</v>
      </c>
      <c r="D53">
        <v>14</v>
      </c>
      <c r="E53" s="2">
        <f t="shared" si="2"/>
        <v>71.428571428571431</v>
      </c>
      <c r="F53">
        <v>3</v>
      </c>
      <c r="G53">
        <v>4</v>
      </c>
      <c r="H53" s="2">
        <f t="shared" si="1"/>
        <v>75</v>
      </c>
      <c r="K53" s="1" t="s">
        <v>38</v>
      </c>
    </row>
    <row r="54" spans="1:14" x14ac:dyDescent="0.35">
      <c r="A54" t="s">
        <v>74</v>
      </c>
      <c r="B54" t="s">
        <v>75</v>
      </c>
      <c r="E54" s="2">
        <v>100</v>
      </c>
      <c r="F54">
        <v>5</v>
      </c>
      <c r="G54">
        <v>14</v>
      </c>
      <c r="H54" s="2">
        <f t="shared" si="1"/>
        <v>35.714285714285715</v>
      </c>
      <c r="I54">
        <v>5</v>
      </c>
      <c r="J54">
        <v>11</v>
      </c>
      <c r="K54">
        <f t="shared" si="0"/>
        <v>45.454545454545453</v>
      </c>
      <c r="L54">
        <v>5</v>
      </c>
      <c r="M54">
        <v>12</v>
      </c>
      <c r="N54">
        <f t="shared" si="3"/>
        <v>41.666666666666671</v>
      </c>
    </row>
    <row r="55" spans="1:14" x14ac:dyDescent="0.35">
      <c r="A55" t="s">
        <v>13</v>
      </c>
      <c r="B55" t="s">
        <v>76</v>
      </c>
      <c r="E55" s="2">
        <v>100</v>
      </c>
      <c r="F55">
        <v>10</v>
      </c>
      <c r="G55">
        <v>13</v>
      </c>
      <c r="H55" s="2">
        <f t="shared" si="1"/>
        <v>76.923076923076934</v>
      </c>
      <c r="I55">
        <v>10</v>
      </c>
      <c r="J55">
        <v>13</v>
      </c>
      <c r="K55">
        <f t="shared" si="0"/>
        <v>76.923076923076934</v>
      </c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35011f-1748-4902-8dee-6f4dac036859}" enabled="0" method="" siteId="{7335011f-1748-4902-8dee-6f4dac0368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Cassity,Jessa L</dc:creator>
  <cp:lastModifiedBy>Bashyal,Mahesh</cp:lastModifiedBy>
  <dcterms:created xsi:type="dcterms:W3CDTF">2026-04-30T17:17:23Z</dcterms:created>
  <dcterms:modified xsi:type="dcterms:W3CDTF">2026-05-07T18:18:12Z</dcterms:modified>
</cp:coreProperties>
</file>